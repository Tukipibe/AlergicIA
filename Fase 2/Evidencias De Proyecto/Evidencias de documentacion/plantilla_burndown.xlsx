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cod8+Iu1YgnuyXGayH3pqsIXfCJ7liOcaKrxrGr/EtQ="/>
    </ext>
  </extLst>
</workbook>
</file>

<file path=xl/sharedStrings.xml><?xml version="1.0" encoding="utf-8"?>
<sst xmlns="http://schemas.openxmlformats.org/spreadsheetml/2006/main" count="26" uniqueCount="26">
  <si>
    <t>Control del Sprint</t>
  </si>
  <si>
    <t>Ejemplo1</t>
  </si>
  <si>
    <t>Historias de Usuario o Spike</t>
  </si>
  <si>
    <t>horas estimadas</t>
  </si>
  <si>
    <t>DIA</t>
  </si>
  <si>
    <t>Total</t>
  </si>
  <si>
    <t>HU-009-T1</t>
  </si>
  <si>
    <t>HU-009-T2</t>
  </si>
  <si>
    <t>HU-009-T3</t>
  </si>
  <si>
    <t>HU-011-T1</t>
  </si>
  <si>
    <t>HU-001-T1</t>
  </si>
  <si>
    <t>HU-001-T2</t>
  </si>
  <si>
    <t>HU-002-T1</t>
  </si>
  <si>
    <t>HU-002-T2</t>
  </si>
  <si>
    <t>HU-003-T1</t>
  </si>
  <si>
    <t>HU-003-T2</t>
  </si>
  <si>
    <t>HU-003-T3</t>
  </si>
  <si>
    <t>HU-003-T4</t>
  </si>
  <si>
    <t>HU-004-T1</t>
  </si>
  <si>
    <t>HU-004-T2</t>
  </si>
  <si>
    <t>HU-005-T1</t>
  </si>
  <si>
    <t>HU-005-T2</t>
  </si>
  <si>
    <t>HU-005-T3</t>
  </si>
  <si>
    <t>HU-005-T4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</si>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</sst>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shrinkToFit="0" vertical="bottom" wrapText="1"/>
    </xf>
    <xf borderId="8" fillId="2" fontId="3" numFmtId="0" xfId="0" applyAlignment="1" applyBorder="1" applyFill="1" applyFont="1">
      <alignment horizontal="center" readingOrder="0" shrinkToFit="0" wrapText="1"/>
    </xf>
    <xf borderId="9" fillId="2" fontId="3" numFmtId="0" xfId="0" applyAlignment="1" applyBorder="1" applyFill="1" applyFont="1">
      <alignment readingOrder="0"/>
    </xf>
    <xf borderId="10" fillId="2" fontId="3" numFmtId="0" xfId="0" applyAlignment="1" applyBorder="1" applyFill="1" applyFont="1">
      <alignment readingOrder="0"/>
    </xf>
    <xf borderId="10" fillId="2" fontId="3" numFmtId="0" xfId="0" applyBorder="1" applyFill="1" applyFont="1"/>
    <xf borderId="7" fillId="2" fontId="3" numFmtId="0" xfId="0" applyBorder="1" applyFill="1" applyFont="1"/>
    <xf borderId="7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7" fillId="0" fontId="3" numFmtId="0" xfId="0" applyBorder="1" applyFont="1"/>
    <xf borderId="12" fillId="2" fontId="3" numFmtId="0" xfId="0" applyAlignment="1" applyBorder="1" applyFill="1" applyFont="1">
      <alignment horizontal="center" readingOrder="0" shrinkToFit="0" wrapText="1"/>
    </xf>
    <xf borderId="11" fillId="2" fontId="3" numFmtId="0" xfId="0" applyAlignment="1" applyBorder="1" applyFill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2" fillId="2" fontId="3" numFmtId="0" xfId="0" applyAlignment="1" applyBorder="1" applyFill="1" applyFont="1">
      <alignment horizontal="center" readingOrder="0" shrinkToFit="0" wrapText="1"/>
    </xf>
    <xf borderId="7" fillId="0" fontId="3" numFmtId="0" xfId="0" applyAlignment="1" applyBorder="1" applyFont="1">
      <alignment horizontal="center" readingOrder="0" shrinkToFit="0" wrapText="1"/>
    </xf>
    <xf borderId="7" fillId="2" fontId="3" numFmtId="0" xfId="0" applyAlignment="1" applyBorder="1" applyFill="1" applyFont="1">
      <alignment horizontal="center" readingOrder="0" shrinkToFit="0" wrapText="1"/>
    </xf>
    <xf borderId="13" fillId="0" fontId="3" numFmtId="0" xfId="0" applyAlignment="1" applyBorder="1" applyFont="1">
      <alignment readingOrder="0"/>
    </xf>
    <xf borderId="13" fillId="0" fontId="3" numFmtId="0" xfId="0" applyBorder="1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Ejemplo1!$B$25:$V$25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Ejemplo1!$B$27:$V$27</c:f>
              <c:numCache/>
            </c:numRef>
          </c:val>
          <c:smooth val="0"/>
        </c:ser>
        <c:axId val="1843515317"/>
        <c:axId val="947489686"/>
      </c:lineChart>
      <c:catAx>
        <c:axId val="1843515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7489686"/>
      </c:catAx>
      <c:valAx>
        <c:axId val="947489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35153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3257550"/>
    <xdr:graphicFrame>
      <xdr:nvGraphicFramePr>
        <xdr:cNvPr id="69969642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7.0"/>
    <col customWidth="1" min="3" max="3" width="4.0"/>
    <col customWidth="1" min="4" max="22" width="3.43"/>
    <col customWidth="1" min="23" max="29" width="10.71"/>
  </cols>
  <sheetData>
    <row r="1">
      <c r="A1" s="1" t="s">
        <v>0</v>
      </c>
      <c r="B1" s="2" t="s">
        <v>1</v>
      </c>
      <c r="C1" s="3">
        <f t="shared" ref="C1:V1" si="1">SUM(C5:C22)</f>
        <v>4</v>
      </c>
      <c r="D1" s="3">
        <f t="shared" si="1"/>
        <v>2</v>
      </c>
      <c r="E1" s="3">
        <f t="shared" si="1"/>
        <v>2</v>
      </c>
      <c r="F1" s="3">
        <f t="shared" si="1"/>
        <v>3</v>
      </c>
      <c r="G1" s="3">
        <f t="shared" si="1"/>
        <v>3</v>
      </c>
      <c r="H1" s="3">
        <f t="shared" si="1"/>
        <v>4</v>
      </c>
      <c r="I1" s="3">
        <f t="shared" si="1"/>
        <v>4</v>
      </c>
      <c r="J1" s="3">
        <f t="shared" si="1"/>
        <v>4</v>
      </c>
      <c r="K1" s="3">
        <f t="shared" si="1"/>
        <v>2</v>
      </c>
      <c r="L1" s="3">
        <f t="shared" si="1"/>
        <v>2</v>
      </c>
      <c r="M1" s="3">
        <f t="shared" si="1"/>
        <v>2</v>
      </c>
      <c r="N1" s="3">
        <f t="shared" si="1"/>
        <v>3</v>
      </c>
      <c r="O1" s="3">
        <f t="shared" si="1"/>
        <v>5</v>
      </c>
      <c r="P1" s="3">
        <f t="shared" si="1"/>
        <v>4</v>
      </c>
      <c r="Q1" s="3">
        <f t="shared" si="1"/>
        <v>4</v>
      </c>
      <c r="R1" s="3">
        <f t="shared" si="1"/>
        <v>2</v>
      </c>
      <c r="S1" s="3">
        <f t="shared" si="1"/>
        <v>3</v>
      </c>
      <c r="T1" s="3">
        <f t="shared" si="1"/>
        <v>2</v>
      </c>
      <c r="U1" s="3">
        <f t="shared" si="1"/>
        <v>3</v>
      </c>
      <c r="V1" s="3">
        <f t="shared" si="1"/>
        <v>4</v>
      </c>
    </row>
    <row r="3">
      <c r="A3" s="4" t="s">
        <v>2</v>
      </c>
      <c r="B3" s="4" t="s">
        <v>3</v>
      </c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4" t="s">
        <v>5</v>
      </c>
    </row>
    <row r="4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>
        <v>7.0</v>
      </c>
      <c r="J4" s="9">
        <v>8.0</v>
      </c>
      <c r="K4" s="9">
        <v>9.0</v>
      </c>
      <c r="L4" s="9">
        <v>10.0</v>
      </c>
      <c r="M4" s="9">
        <v>11.0</v>
      </c>
      <c r="N4" s="9">
        <v>12.0</v>
      </c>
      <c r="O4" s="9">
        <v>13.0</v>
      </c>
      <c r="P4" s="9">
        <v>14.0</v>
      </c>
      <c r="Q4" s="9">
        <v>15.0</v>
      </c>
      <c r="R4" s="9">
        <v>16.0</v>
      </c>
      <c r="S4" s="9">
        <v>17.0</v>
      </c>
      <c r="T4" s="9">
        <v>18.0</v>
      </c>
      <c r="U4" s="9">
        <v>19.0</v>
      </c>
      <c r="V4" s="9">
        <v>20.0</v>
      </c>
      <c r="W4" s="10"/>
    </row>
    <row r="5">
      <c r="A5" s="11" t="s">
        <v>6</v>
      </c>
      <c r="B5" s="12">
        <v>3.0</v>
      </c>
      <c r="C5" s="13">
        <v>3.0</v>
      </c>
      <c r="D5" s="14"/>
      <c r="E5" s="14"/>
      <c r="F5" s="14"/>
      <c r="G5" s="14"/>
      <c r="H5" s="14"/>
      <c r="I5" s="14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>
        <f t="shared" ref="W5:W22" si="2">SUM(C5:V5)</f>
        <v>3</v>
      </c>
    </row>
    <row r="6">
      <c r="A6" s="17" t="s">
        <v>7</v>
      </c>
      <c r="B6" s="18">
        <v>5.0</v>
      </c>
      <c r="C6" s="19">
        <v>1.0</v>
      </c>
      <c r="D6" s="20">
        <v>2.0</v>
      </c>
      <c r="E6" s="20">
        <v>2.0</v>
      </c>
      <c r="F6" s="20"/>
      <c r="G6" s="20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2">
        <f t="shared" si="2"/>
        <v>5</v>
      </c>
    </row>
    <row r="7">
      <c r="A7" s="11" t="s">
        <v>8</v>
      </c>
      <c r="B7" s="23">
        <v>2.0</v>
      </c>
      <c r="C7" s="24"/>
      <c r="D7" s="25"/>
      <c r="E7" s="25"/>
      <c r="F7" s="25">
        <v>2.0</v>
      </c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16">
        <f t="shared" si="2"/>
        <v>2</v>
      </c>
    </row>
    <row r="8">
      <c r="A8" s="17" t="s">
        <v>9</v>
      </c>
      <c r="B8" s="18">
        <v>4.0</v>
      </c>
      <c r="C8" s="19"/>
      <c r="D8" s="20"/>
      <c r="E8" s="20"/>
      <c r="F8" s="20">
        <v>1.0</v>
      </c>
      <c r="G8" s="20">
        <v>3.0</v>
      </c>
      <c r="H8" s="20"/>
      <c r="I8" s="20"/>
      <c r="J8" s="20"/>
      <c r="K8" s="20"/>
      <c r="L8" s="20"/>
      <c r="M8" s="21"/>
      <c r="N8" s="21"/>
      <c r="O8" s="21"/>
      <c r="P8" s="21"/>
      <c r="Q8" s="21"/>
      <c r="R8" s="21"/>
      <c r="S8" s="21"/>
      <c r="T8" s="21"/>
      <c r="U8" s="21"/>
      <c r="V8" s="21"/>
      <c r="W8" s="22">
        <f t="shared" si="2"/>
        <v>4</v>
      </c>
    </row>
    <row r="9">
      <c r="A9" s="11" t="s">
        <v>10</v>
      </c>
      <c r="B9" s="27">
        <v>2.0</v>
      </c>
      <c r="C9" s="24"/>
      <c r="D9" s="25"/>
      <c r="E9" s="26"/>
      <c r="F9" s="25"/>
      <c r="G9" s="25"/>
      <c r="H9" s="25">
        <v>2.0</v>
      </c>
      <c r="I9" s="25"/>
      <c r="J9" s="25"/>
      <c r="K9" s="25"/>
      <c r="L9" s="25"/>
      <c r="M9" s="25"/>
      <c r="N9" s="25"/>
      <c r="O9" s="25"/>
      <c r="P9" s="25"/>
      <c r="Q9" s="26"/>
      <c r="R9" s="26"/>
      <c r="S9" s="26"/>
      <c r="T9" s="26"/>
      <c r="U9" s="26"/>
      <c r="V9" s="26"/>
      <c r="W9" s="16">
        <f t="shared" si="2"/>
        <v>2</v>
      </c>
    </row>
    <row r="10">
      <c r="A10" s="17" t="s">
        <v>11</v>
      </c>
      <c r="B10" s="28">
        <v>2.0</v>
      </c>
      <c r="C10" s="20"/>
      <c r="D10" s="21"/>
      <c r="E10" s="21"/>
      <c r="F10" s="21"/>
      <c r="G10" s="20"/>
      <c r="H10" s="20">
        <v>2.0</v>
      </c>
      <c r="I10" s="20"/>
      <c r="J10" s="20"/>
      <c r="K10" s="20"/>
      <c r="L10" s="20"/>
      <c r="M10" s="20"/>
      <c r="N10" s="20"/>
      <c r="O10" s="20"/>
      <c r="P10" s="20"/>
      <c r="Q10" s="21"/>
      <c r="R10" s="21"/>
      <c r="S10" s="21"/>
      <c r="T10" s="21"/>
      <c r="U10" s="21"/>
      <c r="V10" s="21"/>
      <c r="W10" s="22">
        <f t="shared" si="2"/>
        <v>2</v>
      </c>
    </row>
    <row r="11">
      <c r="A11" s="11" t="s">
        <v>12</v>
      </c>
      <c r="B11" s="29">
        <v>3.0</v>
      </c>
      <c r="C11" s="25"/>
      <c r="D11" s="25"/>
      <c r="E11" s="26"/>
      <c r="F11" s="26"/>
      <c r="G11" s="25"/>
      <c r="H11" s="25"/>
      <c r="I11" s="25">
        <v>3.0</v>
      </c>
      <c r="J11" s="25"/>
      <c r="K11" s="25"/>
      <c r="L11" s="25"/>
      <c r="M11" s="25"/>
      <c r="N11" s="26"/>
      <c r="O11" s="25"/>
      <c r="P11" s="25"/>
      <c r="Q11" s="25"/>
      <c r="R11" s="25"/>
      <c r="S11" s="25"/>
      <c r="T11" s="25"/>
      <c r="U11" s="25"/>
      <c r="V11" s="25"/>
      <c r="W11" s="16">
        <f t="shared" si="2"/>
        <v>3</v>
      </c>
    </row>
    <row r="12">
      <c r="A12" s="17" t="s">
        <v>13</v>
      </c>
      <c r="B12" s="28">
        <v>3.0</v>
      </c>
      <c r="C12" s="20"/>
      <c r="D12" s="20"/>
      <c r="E12" s="21"/>
      <c r="F12" s="21"/>
      <c r="G12" s="21"/>
      <c r="H12" s="20"/>
      <c r="I12" s="20">
        <v>1.0</v>
      </c>
      <c r="J12" s="20">
        <v>2.0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2">
        <f t="shared" si="2"/>
        <v>3</v>
      </c>
    </row>
    <row r="13">
      <c r="A13" s="11" t="s">
        <v>14</v>
      </c>
      <c r="B13" s="29">
        <v>3.0</v>
      </c>
      <c r="C13" s="25"/>
      <c r="D13" s="25"/>
      <c r="E13" s="26"/>
      <c r="F13" s="26"/>
      <c r="G13" s="26"/>
      <c r="H13" s="26"/>
      <c r="I13" s="25"/>
      <c r="J13" s="25">
        <v>2.0</v>
      </c>
      <c r="K13" s="25">
        <v>1.0</v>
      </c>
      <c r="L13" s="25"/>
      <c r="M13" s="25"/>
      <c r="N13" s="26"/>
      <c r="O13" s="25"/>
      <c r="P13" s="25"/>
      <c r="Q13" s="25"/>
      <c r="R13" s="25"/>
      <c r="S13" s="25"/>
      <c r="T13" s="25"/>
      <c r="U13" s="25"/>
      <c r="V13" s="25"/>
      <c r="W13" s="16">
        <f t="shared" si="2"/>
        <v>3</v>
      </c>
    </row>
    <row r="14">
      <c r="A14" s="17" t="s">
        <v>15</v>
      </c>
      <c r="B14" s="28">
        <v>6.0</v>
      </c>
      <c r="C14" s="20"/>
      <c r="D14" s="20"/>
      <c r="E14" s="21"/>
      <c r="F14" s="21"/>
      <c r="G14" s="21"/>
      <c r="H14" s="21"/>
      <c r="I14" s="20"/>
      <c r="J14" s="20"/>
      <c r="K14" s="20">
        <v>1.0</v>
      </c>
      <c r="L14" s="20">
        <v>2.0</v>
      </c>
      <c r="M14" s="20">
        <v>2.0</v>
      </c>
      <c r="N14" s="20">
        <v>1.0</v>
      </c>
      <c r="O14" s="20"/>
      <c r="P14" s="20"/>
      <c r="Q14" s="20"/>
      <c r="R14" s="20"/>
      <c r="S14" s="20"/>
      <c r="T14" s="20"/>
      <c r="U14" s="20"/>
      <c r="V14" s="20"/>
      <c r="W14" s="22">
        <f t="shared" si="2"/>
        <v>6</v>
      </c>
    </row>
    <row r="15">
      <c r="A15" s="11" t="s">
        <v>16</v>
      </c>
      <c r="B15" s="29">
        <v>5.0</v>
      </c>
      <c r="C15" s="25"/>
      <c r="D15" s="25"/>
      <c r="E15" s="26"/>
      <c r="F15" s="26"/>
      <c r="G15" s="26"/>
      <c r="H15" s="26"/>
      <c r="I15" s="25"/>
      <c r="J15" s="25"/>
      <c r="K15" s="25"/>
      <c r="L15" s="25"/>
      <c r="M15" s="25"/>
      <c r="N15" s="25">
        <v>2.0</v>
      </c>
      <c r="O15" s="25">
        <v>3.0</v>
      </c>
      <c r="P15" s="25"/>
      <c r="Q15" s="25"/>
      <c r="R15" s="25"/>
      <c r="S15" s="25"/>
      <c r="T15" s="25"/>
      <c r="U15" s="25"/>
      <c r="V15" s="25"/>
      <c r="W15" s="16">
        <f t="shared" si="2"/>
        <v>5</v>
      </c>
    </row>
    <row r="16">
      <c r="A16" s="17" t="s">
        <v>17</v>
      </c>
      <c r="B16" s="28">
        <v>3.0</v>
      </c>
      <c r="C16" s="20"/>
      <c r="D16" s="20"/>
      <c r="E16" s="21"/>
      <c r="F16" s="21"/>
      <c r="G16" s="21"/>
      <c r="H16" s="21"/>
      <c r="I16" s="20"/>
      <c r="J16" s="21"/>
      <c r="K16" s="20"/>
      <c r="L16" s="20"/>
      <c r="M16" s="20"/>
      <c r="N16" s="21"/>
      <c r="O16" s="20">
        <v>2.0</v>
      </c>
      <c r="P16" s="20">
        <v>1.0</v>
      </c>
      <c r="Q16" s="20"/>
      <c r="R16" s="20"/>
      <c r="S16" s="20"/>
      <c r="T16" s="20"/>
      <c r="U16" s="20"/>
      <c r="V16" s="20"/>
      <c r="W16" s="22">
        <f t="shared" si="2"/>
        <v>3</v>
      </c>
    </row>
    <row r="17">
      <c r="A17" s="11" t="s">
        <v>18</v>
      </c>
      <c r="B17" s="29">
        <v>3.0</v>
      </c>
      <c r="C17" s="25"/>
      <c r="D17" s="25"/>
      <c r="E17" s="26"/>
      <c r="F17" s="26"/>
      <c r="G17" s="26"/>
      <c r="H17" s="26"/>
      <c r="I17" s="25"/>
      <c r="J17" s="26"/>
      <c r="K17" s="25"/>
      <c r="L17" s="25"/>
      <c r="M17" s="25"/>
      <c r="N17" s="26"/>
      <c r="O17" s="25"/>
      <c r="P17" s="25">
        <v>3.0</v>
      </c>
      <c r="Q17" s="25"/>
      <c r="R17" s="25"/>
      <c r="S17" s="25"/>
      <c r="T17" s="25"/>
      <c r="U17" s="25"/>
      <c r="V17" s="25"/>
      <c r="W17" s="16">
        <f t="shared" si="2"/>
        <v>3</v>
      </c>
    </row>
    <row r="18">
      <c r="A18" s="17" t="s">
        <v>19</v>
      </c>
      <c r="B18" s="28">
        <v>2.0</v>
      </c>
      <c r="C18" s="20"/>
      <c r="D18" s="20"/>
      <c r="E18" s="21"/>
      <c r="F18" s="21"/>
      <c r="G18" s="21"/>
      <c r="H18" s="21"/>
      <c r="I18" s="20"/>
      <c r="J18" s="21"/>
      <c r="K18" s="20"/>
      <c r="L18" s="20"/>
      <c r="M18" s="20"/>
      <c r="N18" s="20"/>
      <c r="O18" s="20"/>
      <c r="P18" s="20"/>
      <c r="Q18" s="20">
        <v>2.0</v>
      </c>
      <c r="R18" s="20"/>
      <c r="S18" s="20"/>
      <c r="T18" s="20"/>
      <c r="U18" s="20"/>
      <c r="V18" s="20"/>
      <c r="W18" s="22">
        <f t="shared" si="2"/>
        <v>2</v>
      </c>
    </row>
    <row r="19">
      <c r="A19" s="11" t="s">
        <v>20</v>
      </c>
      <c r="B19" s="29">
        <v>3.0</v>
      </c>
      <c r="C19" s="25"/>
      <c r="D19" s="25"/>
      <c r="E19" s="26"/>
      <c r="F19" s="26"/>
      <c r="G19" s="26"/>
      <c r="H19" s="26"/>
      <c r="I19" s="25"/>
      <c r="J19" s="26"/>
      <c r="K19" s="25"/>
      <c r="L19" s="25"/>
      <c r="M19" s="25"/>
      <c r="N19" s="25"/>
      <c r="O19" s="25"/>
      <c r="P19" s="25"/>
      <c r="Q19" s="25">
        <v>2.0</v>
      </c>
      <c r="R19" s="25">
        <v>1.0</v>
      </c>
      <c r="S19" s="25"/>
      <c r="T19" s="25"/>
      <c r="U19" s="25"/>
      <c r="V19" s="25"/>
      <c r="W19" s="16">
        <f t="shared" si="2"/>
        <v>3</v>
      </c>
    </row>
    <row r="20">
      <c r="A20" s="17" t="s">
        <v>21</v>
      </c>
      <c r="B20" s="28">
        <v>5.0</v>
      </c>
      <c r="C20" s="20"/>
      <c r="D20" s="20"/>
      <c r="E20" s="21"/>
      <c r="F20" s="21"/>
      <c r="G20" s="21"/>
      <c r="H20" s="21"/>
      <c r="I20" s="20"/>
      <c r="J20" s="21"/>
      <c r="K20" s="20"/>
      <c r="L20" s="20"/>
      <c r="M20" s="20"/>
      <c r="N20" s="21"/>
      <c r="O20" s="20"/>
      <c r="P20" s="20"/>
      <c r="Q20" s="20"/>
      <c r="R20" s="20">
        <v>1.0</v>
      </c>
      <c r="S20" s="20">
        <v>3.0</v>
      </c>
      <c r="T20" s="20">
        <v>1.0</v>
      </c>
      <c r="U20" s="20"/>
      <c r="V20" s="20"/>
      <c r="W20" s="22">
        <f t="shared" si="2"/>
        <v>5</v>
      </c>
    </row>
    <row r="21">
      <c r="A21" s="11" t="s">
        <v>22</v>
      </c>
      <c r="B21" s="29">
        <v>5.0</v>
      </c>
      <c r="C21" s="25"/>
      <c r="D21" s="25"/>
      <c r="E21" s="26"/>
      <c r="F21" s="26"/>
      <c r="G21" s="26"/>
      <c r="H21" s="26"/>
      <c r="I21" s="25"/>
      <c r="J21" s="26"/>
      <c r="K21" s="25"/>
      <c r="L21" s="25"/>
      <c r="M21" s="25"/>
      <c r="N21" s="26"/>
      <c r="O21" s="25"/>
      <c r="P21" s="25"/>
      <c r="Q21" s="25"/>
      <c r="R21" s="25"/>
      <c r="S21" s="25"/>
      <c r="T21" s="25">
        <v>1.0</v>
      </c>
      <c r="U21" s="25">
        <v>3.0</v>
      </c>
      <c r="V21" s="25">
        <v>1.0</v>
      </c>
      <c r="W21" s="16">
        <f t="shared" si="2"/>
        <v>5</v>
      </c>
    </row>
    <row r="22">
      <c r="A22" s="17" t="s">
        <v>23</v>
      </c>
      <c r="B22" s="28">
        <v>3.0</v>
      </c>
      <c r="C22" s="30"/>
      <c r="D22" s="30"/>
      <c r="E22" s="31"/>
      <c r="F22" s="31"/>
      <c r="G22" s="31"/>
      <c r="H22" s="31"/>
      <c r="I22" s="30"/>
      <c r="J22" s="31"/>
      <c r="K22" s="30"/>
      <c r="L22" s="30"/>
      <c r="M22" s="30"/>
      <c r="N22" s="31"/>
      <c r="O22" s="30"/>
      <c r="P22" s="30"/>
      <c r="Q22" s="30"/>
      <c r="R22" s="30"/>
      <c r="S22" s="30"/>
      <c r="T22" s="30"/>
      <c r="U22" s="30"/>
      <c r="V22" s="30">
        <v>3.0</v>
      </c>
      <c r="W22" s="22">
        <f t="shared" si="2"/>
        <v>3</v>
      </c>
    </row>
    <row r="23">
      <c r="A23" s="20"/>
      <c r="B23" s="32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>
      <c r="A24" s="3"/>
    </row>
    <row r="25">
      <c r="A25" s="33" t="s">
        <v>24</v>
      </c>
      <c r="B25" s="2">
        <f>SUM(B5:B24)</f>
        <v>62</v>
      </c>
      <c r="C25" s="2">
        <f t="shared" ref="C25:V25" si="3">B25-SUM(C5:C22)</f>
        <v>58</v>
      </c>
      <c r="D25" s="2">
        <f t="shared" si="3"/>
        <v>56</v>
      </c>
      <c r="E25" s="2">
        <f t="shared" si="3"/>
        <v>54</v>
      </c>
      <c r="F25" s="2">
        <f t="shared" si="3"/>
        <v>51</v>
      </c>
      <c r="G25" s="2">
        <f t="shared" si="3"/>
        <v>48</v>
      </c>
      <c r="H25" s="2">
        <f t="shared" si="3"/>
        <v>44</v>
      </c>
      <c r="I25" s="2">
        <f t="shared" si="3"/>
        <v>40</v>
      </c>
      <c r="J25" s="2">
        <f t="shared" si="3"/>
        <v>36</v>
      </c>
      <c r="K25" s="2">
        <f t="shared" si="3"/>
        <v>34</v>
      </c>
      <c r="L25" s="2">
        <f t="shared" si="3"/>
        <v>32</v>
      </c>
      <c r="M25" s="2">
        <f t="shared" si="3"/>
        <v>30</v>
      </c>
      <c r="N25" s="2">
        <f t="shared" si="3"/>
        <v>27</v>
      </c>
      <c r="O25" s="2">
        <f t="shared" si="3"/>
        <v>22</v>
      </c>
      <c r="P25" s="2">
        <f t="shared" si="3"/>
        <v>18</v>
      </c>
      <c r="Q25" s="2">
        <f t="shared" si="3"/>
        <v>14</v>
      </c>
      <c r="R25" s="2">
        <f t="shared" si="3"/>
        <v>12</v>
      </c>
      <c r="S25" s="2">
        <f t="shared" si="3"/>
        <v>9</v>
      </c>
      <c r="T25" s="2">
        <f t="shared" si="3"/>
        <v>7</v>
      </c>
      <c r="U25" s="2">
        <f t="shared" si="3"/>
        <v>4</v>
      </c>
      <c r="V25" s="2">
        <f t="shared" si="3"/>
        <v>0</v>
      </c>
    </row>
    <row r="26">
      <c r="A26" s="34"/>
    </row>
    <row r="27">
      <c r="A27" s="33" t="s">
        <v>25</v>
      </c>
      <c r="B27" s="2">
        <f>SUM(B5:B22)</f>
        <v>62</v>
      </c>
      <c r="C27" s="2">
        <f t="shared" ref="C27:V27" si="4">B27-(SUM($B$5:$B$22)/20)</f>
        <v>58.9</v>
      </c>
      <c r="D27" s="2">
        <f t="shared" si="4"/>
        <v>55.8</v>
      </c>
      <c r="E27" s="2">
        <f t="shared" si="4"/>
        <v>52.7</v>
      </c>
      <c r="F27" s="2">
        <f t="shared" si="4"/>
        <v>49.6</v>
      </c>
      <c r="G27" s="2">
        <f t="shared" si="4"/>
        <v>46.5</v>
      </c>
      <c r="H27" s="2">
        <f t="shared" si="4"/>
        <v>43.4</v>
      </c>
      <c r="I27" s="2">
        <f t="shared" si="4"/>
        <v>40.3</v>
      </c>
      <c r="J27" s="2">
        <f t="shared" si="4"/>
        <v>37.2</v>
      </c>
      <c r="K27" s="2">
        <f t="shared" si="4"/>
        <v>34.1</v>
      </c>
      <c r="L27" s="2">
        <f t="shared" si="4"/>
        <v>31</v>
      </c>
      <c r="M27" s="2">
        <f t="shared" si="4"/>
        <v>27.9</v>
      </c>
      <c r="N27" s="2">
        <f t="shared" si="4"/>
        <v>24.8</v>
      </c>
      <c r="O27" s="2">
        <f t="shared" si="4"/>
        <v>21.7</v>
      </c>
      <c r="P27" s="2">
        <f t="shared" si="4"/>
        <v>18.6</v>
      </c>
      <c r="Q27" s="2">
        <f t="shared" si="4"/>
        <v>15.5</v>
      </c>
      <c r="R27" s="2">
        <f t="shared" si="4"/>
        <v>12.4</v>
      </c>
      <c r="S27" s="2">
        <f t="shared" si="4"/>
        <v>9.3</v>
      </c>
      <c r="T27" s="2">
        <f t="shared" si="4"/>
        <v>6.2</v>
      </c>
      <c r="U27" s="2">
        <f t="shared" si="4"/>
        <v>3.1</v>
      </c>
      <c r="V27" s="2">
        <f t="shared" si="4"/>
        <v>0</v>
      </c>
    </row>
    <row r="29">
      <c r="A29" s="21"/>
      <c r="B29" s="32"/>
      <c r="C29" s="21"/>
      <c r="D29" s="21"/>
      <c r="E29" s="21"/>
      <c r="F29" s="21"/>
      <c r="G29" s="21"/>
      <c r="H29" s="21"/>
      <c r="I29" s="21"/>
    </row>
    <row r="30">
      <c r="A30" s="21"/>
      <c r="B30" s="32"/>
      <c r="C30" s="21"/>
      <c r="D30" s="21"/>
      <c r="E30" s="21"/>
      <c r="F30" s="21"/>
      <c r="G30" s="32"/>
      <c r="H30" s="21"/>
      <c r="I30" s="21"/>
    </row>
    <row r="31">
      <c r="A31" s="21"/>
      <c r="B31" s="32"/>
      <c r="C31" s="21"/>
      <c r="D31" s="21"/>
      <c r="E31" s="21"/>
      <c r="F31" s="21"/>
      <c r="G31" s="32"/>
      <c r="H31" s="21"/>
      <c r="I31" s="21"/>
    </row>
    <row r="32">
      <c r="A32" s="21"/>
      <c r="B32" s="32"/>
      <c r="C32" s="21"/>
      <c r="D32" s="21"/>
      <c r="E32" s="21"/>
      <c r="F32" s="21"/>
      <c r="G32" s="32"/>
      <c r="H32" s="21"/>
      <c r="I32" s="21"/>
    </row>
    <row r="33">
      <c r="A33" s="21"/>
      <c r="B33" s="32"/>
      <c r="C33" s="21"/>
      <c r="D33" s="21"/>
      <c r="E33" s="21"/>
      <c r="F33" s="21"/>
      <c r="G33" s="32"/>
      <c r="H33" s="21"/>
      <c r="I33" s="21"/>
    </row>
    <row r="34" ht="15.75" customHeight="1">
      <c r="A34" s="21"/>
      <c r="B34" s="32"/>
      <c r="C34" s="21"/>
      <c r="D34" s="21"/>
      <c r="E34" s="21"/>
      <c r="F34" s="21"/>
      <c r="G34" s="32"/>
      <c r="H34" s="21"/>
      <c r="I34" s="21"/>
    </row>
    <row r="35" ht="15.75" customHeight="1">
      <c r="A35" s="21"/>
      <c r="B35" s="32"/>
      <c r="C35" s="21"/>
      <c r="D35" s="21"/>
      <c r="E35" s="21"/>
      <c r="F35" s="21"/>
      <c r="G35" s="32"/>
      <c r="H35" s="21"/>
      <c r="I35" s="21"/>
    </row>
    <row r="36" ht="15.75" customHeight="1">
      <c r="A36" s="21"/>
      <c r="B36" s="32"/>
      <c r="C36" s="21"/>
      <c r="D36" s="21"/>
      <c r="E36" s="21"/>
      <c r="F36" s="21"/>
      <c r="G36" s="21"/>
      <c r="H36" s="21"/>
      <c r="I36" s="21"/>
    </row>
    <row r="37" ht="15.75" customHeight="1">
      <c r="A37" s="21"/>
      <c r="B37" s="32"/>
      <c r="C37" s="21"/>
      <c r="D37" s="21"/>
      <c r="E37" s="21"/>
      <c r="F37" s="21"/>
      <c r="G37" s="21"/>
      <c r="H37" s="21"/>
      <c r="I37" s="21"/>
    </row>
    <row r="38" ht="15.75" customHeight="1">
      <c r="A38" s="21"/>
      <c r="B38" s="32"/>
      <c r="C38" s="21"/>
      <c r="D38" s="21"/>
      <c r="E38" s="21"/>
      <c r="F38" s="21"/>
      <c r="G38" s="21"/>
      <c r="H38" s="21"/>
      <c r="I38" s="2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